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wnloads\big_data\bloques\matematicas\analisis_estadistico\"/>
    </mc:Choice>
  </mc:AlternateContent>
  <xr:revisionPtr revIDLastSave="0" documentId="13_ncr:1_{53B32BBA-72D3-4524-B7D8-39C2902287DE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4" l="1"/>
  <c r="E14" i="4"/>
  <c r="E15" i="4"/>
  <c r="E16" i="4"/>
  <c r="E12" i="4"/>
  <c r="E7" i="4"/>
  <c r="E6" i="4"/>
  <c r="E5" i="4"/>
  <c r="F8" i="3"/>
  <c r="F7" i="3"/>
  <c r="F6" i="3"/>
  <c r="F5" i="3"/>
  <c r="E8" i="2"/>
  <c r="E7" i="2"/>
  <c r="E6" i="2"/>
  <c r="E5" i="2"/>
</calcChain>
</file>

<file path=xl/sharedStrings.xml><?xml version="1.0" encoding="utf-8"?>
<sst xmlns="http://schemas.openxmlformats.org/spreadsheetml/2006/main" count="582" uniqueCount="164">
  <si>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</si>
  <si>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</si>
  <si>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</si>
  <si>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</si>
  <si>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</si>
  <si>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</si>
  <si>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</si>
  <si>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</si>
  <si>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</si>
  <si>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</si>
  <si>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</si>
  <si>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</si>
  <si>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</si>
  <si>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</si>
  <si>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</si>
  <si>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</si>
  <si>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</si>
  <si>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</si>
  <si>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</si>
  <si>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</si>
  <si>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</si>
  <si>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</si>
  <si>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</si>
  <si>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</si>
  <si>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</si>
  <si>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</si>
  <si>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</si>
  <si>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</si>
  <si>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</si>
  <si>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</si>
  <si>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</si>
  <si>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</si>
  <si>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</si>
  <si>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</si>
  <si>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</si>
  <si>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</si>
  <si>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</si>
  <si>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</si>
  <si>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</si>
  <si>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</si>
  <si>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</si>
  <si>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</si>
  <si>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</si>
  <si>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</si>
  <si>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</si>
  <si>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</si>
  <si>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</si>
  <si>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</si>
  <si>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</si>
  <si>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</si>
  <si>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</si>
  <si>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</si>
  <si>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</si>
  <si>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</si>
  <si>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</si>
  <si>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</si>
  <si>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</si>
  <si>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</si>
  <si>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</si>
  <si>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</si>
  <si>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</si>
  <si>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</si>
  <si>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</si>
  <si>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</si>
  <si>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</si>
  <si>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</si>
  <si>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</si>
  <si>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</si>
  <si>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</si>
  <si>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</si>
  <si>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</si>
  <si>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</si>
  <si>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</si>
  <si>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</si>
  <si>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</si>
  <si>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</si>
  <si>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</si>
  <si>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</si>
  <si>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</si>
  <si>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</si>
  <si>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</si>
  <si>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</si>
  <si>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</si>
  <si>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</si>
  <si>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</si>
  <si>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</si>
  <si>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</si>
  <si>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</si>
  <si>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</si>
  <si>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</si>
  <si>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</si>
  <si>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</si>
  <si>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</si>
  <si>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</si>
  <si>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</si>
  <si>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</si>
  <si>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</si>
  <si>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</si>
  <si>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</si>
  <si>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</si>
  <si>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</si>
  <si>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</si>
  <si>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</si>
  <si>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</si>
  <si>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</si>
  <si>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</si>
  <si>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</si>
  <si>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</si>
  <si>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</si>
  <si>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</si>
  <si>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</si>
  <si>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</si>
  <si>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</si>
  <si>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</si>
  <si>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</si>
  <si>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</si>
  <si>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</si>
  <si>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</si>
  <si>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</si>
  <si>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</si>
  <si>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</si>
  <si>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</si>
  <si>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</si>
  <si>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</si>
  <si>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</si>
  <si>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</si>
  <si>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</si>
  <si>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</si>
  <si>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</si>
  <si>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</si>
  <si>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</si>
  <si>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</si>
  <si>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</si>
  <si>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</si>
  <si>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</si>
  <si>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</si>
  <si>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</si>
  <si>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</si>
  <si>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</si>
  <si>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</si>
  <si>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</si>
  <si>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</si>
  <si>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</si>
  <si>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</si>
  <si>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</si>
  <si>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</si>
  <si>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</si>
  <si>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</si>
  <si>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</si>
  <si>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</si>
  <si>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Conclusiones:</t>
  </si>
  <si>
    <t xml:space="preserve">media y mediana no son parecidas y esto implica muchos outliners, que distorsiona la media </t>
  </si>
  <si>
    <t>Se venden muchos productos en el rango de precios entre 6 y 70</t>
  </si>
  <si>
    <t>la desviacion tipica eas muy alta porque hay mucha diferencia entre la media y la mediana</t>
  </si>
  <si>
    <t>el ticket medio de nuestra tienda es 35.</t>
  </si>
  <si>
    <t>18 euros es el precio que mas se repite</t>
  </si>
  <si>
    <t>en este caso, el mejor indicador es la mediana debido a que la distancia entre la media y la mediana es muy alta</t>
  </si>
  <si>
    <t>la tendencia deberia ser entre 50 y 100 ya que tiene un mayor beneficio.</t>
  </si>
  <si>
    <t>la desviacion tipica de estos valores es baja. La concentracion spobre los beneficios esta entre 0 y 50.</t>
  </si>
  <si>
    <t>como la desviacion tipica es cercana a 0, la concentración de ventas de los productos es mayor.</t>
  </si>
  <si>
    <t>vende el grueso de sus productos con un margen de beneficios pequeño. Entre unos 20 y 30 euros de beneficio.</t>
  </si>
  <si>
    <t>la mediana y ka medida son muy parecidas, no hasy dispersion y los valores son muy repetidos</t>
  </si>
  <si>
    <t>la moda es la valoracion mas repetida</t>
  </si>
  <si>
    <t>para ver que puntuacion es mas elevada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</si>
</sst>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coste vs beneficio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'2_Beneficios'!$C$4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12-4F94-AF0D-D9510D6F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672128"/>
        <c:axId val="835671648"/>
      </c:scatterChart>
      <c:valAx>
        <c:axId val="83567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5671648"/>
        <c:crosses val="autoZero"/>
        <c:crossBetween val="midCat"/>
      </c:valAx>
      <c:valAx>
        <c:axId val="83567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567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Distribución de satisfacción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'3_Satisfaccion'!$E$11</c:f>
              <c:strCache>
                <c:ptCount val="1"/>
                <c:pt idx="0">
                  <c:v>Nº de Clientes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63-441B-9353-C4DE129FB7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5685039"/>
        <c:axId val="135684559"/>
      </c:barChart>
      <c:catAx>
        <c:axId val="135685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684559"/>
        <c:crosses val="autoZero"/>
        <c:auto val="1"/>
        <c:lblAlgn val="ctr"/>
        <c:lblOffset val="100"/>
        <c:noMultiLvlLbl val="0"/>
      </c:catAx>
      <c:valAx>
        <c:axId val="13568455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5685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495CFF4B-DF7B-4A79-B85A-CF110FAEB0C6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</xdr:colOff>
      <xdr:row>10</xdr:row>
      <xdr:rowOff>125730</xdr:rowOff>
    </xdr:from>
    <xdr:to>
      <xdr:col>15</xdr:col>
      <xdr:colOff>510540</xdr:colOff>
      <xdr:row>25</xdr:row>
      <xdr:rowOff>125730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90F2B4F-971C-2F5E-5BA2-7CE38FAB3C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94920" y="2000250"/>
              <a:ext cx="59055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6484620</xdr:colOff>
      <xdr:row>16</xdr:row>
      <xdr:rowOff>11430</xdr:rowOff>
    </xdr:from>
    <xdr:to>
      <xdr:col>7</xdr:col>
      <xdr:colOff>3246120</xdr:colOff>
      <xdr:row>31</xdr:row>
      <xdr:rowOff>11430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11C651B-C93D-291E-D181-64AE538CE6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1036320</xdr:colOff>
      <xdr:row>22</xdr:row>
      <xdr:rowOff>87630</xdr:rowOff>
    </xdr:from>
    <xdr:to>
      <xdr:col>6</xdr:col>
      <xdr:colOff>1440180</xdr:colOff>
      <xdr:row>37</xdr:row>
      <xdr:rowOff>87630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2653E75-52EA-444F-E906-2ED4D6B3B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workbookViewId="0">
      <selection activeCell="E36" sqref="E36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93.33203125" bestFit="1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AVERAGE(B:B)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MEDIAN(B:B)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_xlfn.MODE.SNGL(B:B)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_xlfn.STDEV.S(B:B)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5" x14ac:dyDescent="0.3">
      <c r="A17" t="s">
        <v>68</v>
      </c>
      <c r="B17">
        <v>20</v>
      </c>
    </row>
    <row r="18" spans="1:5" x14ac:dyDescent="0.3">
      <c r="A18" t="s">
        <v>69</v>
      </c>
      <c r="B18">
        <v>42</v>
      </c>
    </row>
    <row r="19" spans="1:5" x14ac:dyDescent="0.3">
      <c r="A19" t="s">
        <v>70</v>
      </c>
      <c r="B19">
        <v>8</v>
      </c>
    </row>
    <row r="20" spans="1:5" x14ac:dyDescent="0.3">
      <c r="A20" t="s">
        <v>71</v>
      </c>
      <c r="B20">
        <v>12</v>
      </c>
    </row>
    <row r="21" spans="1:5" x14ac:dyDescent="0.3">
      <c r="A21" t="s">
        <v>72</v>
      </c>
      <c r="B21">
        <v>18</v>
      </c>
    </row>
    <row r="22" spans="1:5" x14ac:dyDescent="0.3">
      <c r="A22" t="s">
        <v>73</v>
      </c>
      <c r="B22">
        <v>95</v>
      </c>
    </row>
    <row r="23" spans="1:5" x14ac:dyDescent="0.3">
      <c r="A23" t="s">
        <v>74</v>
      </c>
      <c r="B23">
        <v>45</v>
      </c>
    </row>
    <row r="24" spans="1:5" x14ac:dyDescent="0.3">
      <c r="A24" t="s">
        <v>75</v>
      </c>
      <c r="B24">
        <v>60</v>
      </c>
    </row>
    <row r="25" spans="1:5" x14ac:dyDescent="0.3">
      <c r="A25" t="s">
        <v>76</v>
      </c>
      <c r="B25">
        <v>10</v>
      </c>
    </row>
    <row r="26" spans="1:5" x14ac:dyDescent="0.3">
      <c r="A26" t="s">
        <v>77</v>
      </c>
      <c r="B26">
        <v>35</v>
      </c>
    </row>
    <row r="27" spans="1:5" x14ac:dyDescent="0.3">
      <c r="A27" t="s">
        <v>78</v>
      </c>
      <c r="B27">
        <v>15</v>
      </c>
    </row>
    <row r="28" spans="1:5" x14ac:dyDescent="0.3">
      <c r="A28" t="s">
        <v>79</v>
      </c>
      <c r="B28">
        <v>18</v>
      </c>
    </row>
    <row r="29" spans="1:5" x14ac:dyDescent="0.3">
      <c r="A29" t="s">
        <v>80</v>
      </c>
      <c r="B29">
        <v>120</v>
      </c>
    </row>
    <row r="30" spans="1:5" x14ac:dyDescent="0.3">
      <c r="A30" t="s">
        <v>81</v>
      </c>
      <c r="B30">
        <v>6</v>
      </c>
      <c r="D30" t="s">
        <v>150</v>
      </c>
      <c r="E30" t="s">
        <v>152</v>
      </c>
    </row>
    <row r="31" spans="1:5" x14ac:dyDescent="0.3">
      <c r="A31" t="s">
        <v>82</v>
      </c>
      <c r="B31">
        <v>12</v>
      </c>
      <c r="E31" t="s">
        <v>153</v>
      </c>
    </row>
    <row r="32" spans="1:5" x14ac:dyDescent="0.3">
      <c r="A32" t="s">
        <v>83</v>
      </c>
      <c r="B32">
        <v>30</v>
      </c>
      <c r="E32" t="s">
        <v>155</v>
      </c>
    </row>
    <row r="33" spans="1:5" x14ac:dyDescent="0.3">
      <c r="A33" t="s">
        <v>84</v>
      </c>
      <c r="B33">
        <v>25</v>
      </c>
      <c r="E33" t="s">
        <v>151</v>
      </c>
    </row>
    <row r="34" spans="1:5" x14ac:dyDescent="0.3">
      <c r="A34" t="s">
        <v>85</v>
      </c>
      <c r="B34">
        <v>22</v>
      </c>
      <c r="E34" t="s">
        <v>154</v>
      </c>
    </row>
    <row r="35" spans="1:5" x14ac:dyDescent="0.3">
      <c r="A35" t="s">
        <v>86</v>
      </c>
      <c r="B35">
        <v>8</v>
      </c>
      <c r="E35" t="s">
        <v>156</v>
      </c>
    </row>
    <row r="36" spans="1:5" x14ac:dyDescent="0.3">
      <c r="A36" t="s">
        <v>87</v>
      </c>
      <c r="B36">
        <v>28</v>
      </c>
    </row>
    <row r="37" spans="1:5" x14ac:dyDescent="0.3">
      <c r="A37" t="s">
        <v>88</v>
      </c>
      <c r="B37">
        <v>20</v>
      </c>
    </row>
    <row r="38" spans="1:5" x14ac:dyDescent="0.3">
      <c r="A38" t="s">
        <v>89</v>
      </c>
      <c r="B38">
        <v>150</v>
      </c>
    </row>
    <row r="39" spans="1:5" x14ac:dyDescent="0.3">
      <c r="A39" t="s">
        <v>90</v>
      </c>
      <c r="B39">
        <v>300</v>
      </c>
    </row>
    <row r="40" spans="1:5" x14ac:dyDescent="0.3">
      <c r="A40" t="s">
        <v>91</v>
      </c>
      <c r="B40">
        <v>85</v>
      </c>
    </row>
    <row r="41" spans="1:5" x14ac:dyDescent="0.3">
      <c r="A41" t="s">
        <v>92</v>
      </c>
      <c r="B41">
        <v>50</v>
      </c>
    </row>
    <row r="42" spans="1:5" x14ac:dyDescent="0.3">
      <c r="A42" t="s">
        <v>93</v>
      </c>
      <c r="B42">
        <v>40</v>
      </c>
    </row>
    <row r="43" spans="1:5" x14ac:dyDescent="0.3">
      <c r="A43" t="s">
        <v>94</v>
      </c>
      <c r="B43">
        <v>35</v>
      </c>
    </row>
    <row r="44" spans="1:5" x14ac:dyDescent="0.3">
      <c r="A44" t="s">
        <v>95</v>
      </c>
      <c r="B44">
        <v>130</v>
      </c>
    </row>
    <row r="45" spans="1:5" x14ac:dyDescent="0.3">
      <c r="A45" t="s">
        <v>95</v>
      </c>
      <c r="B45">
        <v>130</v>
      </c>
    </row>
    <row r="46" spans="1:5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activeCell="E15" sqref="E15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94.6640625" bestFit="1" customWidth="1"/>
    <col min="6" max="6" width="15.6640625" customWidth="1"/>
    <col min="8" max="8" width="79.88671875" bestFit="1" customWidth="1"/>
  </cols>
  <sheetData>
    <row r="1" spans="1:8" ht="18" x14ac:dyDescent="0.35">
      <c r="A1" s="1" t="s">
        <v>128</v>
      </c>
    </row>
    <row r="4" spans="1:8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8" x14ac:dyDescent="0.3">
      <c r="A5" t="s">
        <v>56</v>
      </c>
      <c r="B5">
        <v>10</v>
      </c>
      <c r="C5">
        <v>15.5</v>
      </c>
      <c r="E5" s="3" t="s">
        <v>129</v>
      </c>
      <c r="F5" s="4">
        <f>AVERAGE(C:C)</f>
        <v>32.511904761904759</v>
      </c>
    </row>
    <row r="6" spans="1:8" x14ac:dyDescent="0.3">
      <c r="A6" t="s">
        <v>57</v>
      </c>
      <c r="B6">
        <v>14</v>
      </c>
      <c r="C6">
        <v>22</v>
      </c>
      <c r="E6" s="3" t="s">
        <v>126</v>
      </c>
      <c r="F6" s="4">
        <f>_xlfn.STDEV.S(C:C)</f>
        <v>20.550499399082351</v>
      </c>
      <c r="H6" t="s">
        <v>159</v>
      </c>
    </row>
    <row r="7" spans="1:8" x14ac:dyDescent="0.3">
      <c r="A7" t="s">
        <v>58</v>
      </c>
      <c r="B7">
        <v>45</v>
      </c>
      <c r="C7">
        <v>40</v>
      </c>
      <c r="E7" s="3" t="s">
        <v>130</v>
      </c>
      <c r="F7" s="4">
        <f>MIN(C:C)</f>
        <v>10</v>
      </c>
    </row>
    <row r="8" spans="1:8" x14ac:dyDescent="0.3">
      <c r="A8" t="s">
        <v>59</v>
      </c>
      <c r="B8">
        <v>60</v>
      </c>
      <c r="C8">
        <v>50</v>
      </c>
      <c r="E8" s="3" t="s">
        <v>131</v>
      </c>
      <c r="F8" s="4">
        <f>MAX(C:C)</f>
        <v>120</v>
      </c>
    </row>
    <row r="9" spans="1:8" x14ac:dyDescent="0.3">
      <c r="A9" t="s">
        <v>60</v>
      </c>
      <c r="B9">
        <v>15</v>
      </c>
      <c r="C9">
        <v>20</v>
      </c>
    </row>
    <row r="10" spans="1:8" x14ac:dyDescent="0.3">
      <c r="A10" t="s">
        <v>61</v>
      </c>
      <c r="B10">
        <v>180</v>
      </c>
      <c r="C10">
        <v>70</v>
      </c>
    </row>
    <row r="11" spans="1:8" x14ac:dyDescent="0.3">
      <c r="A11" t="s">
        <v>62</v>
      </c>
      <c r="B11">
        <v>20</v>
      </c>
      <c r="C11">
        <v>25</v>
      </c>
      <c r="E11" s="5" t="s">
        <v>132</v>
      </c>
    </row>
    <row r="12" spans="1:8" x14ac:dyDescent="0.3">
      <c r="A12" t="s">
        <v>63</v>
      </c>
      <c r="B12">
        <v>18</v>
      </c>
      <c r="C12">
        <v>27</v>
      </c>
    </row>
    <row r="13" spans="1:8" x14ac:dyDescent="0.3">
      <c r="A13" t="s">
        <v>64</v>
      </c>
      <c r="B13">
        <v>50</v>
      </c>
      <c r="C13">
        <v>40</v>
      </c>
      <c r="E13" t="s">
        <v>158</v>
      </c>
    </row>
    <row r="14" spans="1:8" x14ac:dyDescent="0.3">
      <c r="A14" t="s">
        <v>65</v>
      </c>
      <c r="B14">
        <v>70</v>
      </c>
      <c r="C14">
        <v>60</v>
      </c>
      <c r="E14" t="s">
        <v>157</v>
      </c>
    </row>
    <row r="15" spans="1:8" x14ac:dyDescent="0.3">
      <c r="A15" t="s">
        <v>66</v>
      </c>
      <c r="B15">
        <v>12</v>
      </c>
      <c r="C15">
        <v>30</v>
      </c>
      <c r="E15" t="s">
        <v>160</v>
      </c>
    </row>
    <row r="16" spans="1:8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6"/>
  <sheetViews>
    <sheetView tabSelected="1" workbookViewId="0">
      <selection activeCell="K6" sqref="K6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  <col min="7" max="7" width="81.33203125" bestFit="1" customWidth="1"/>
  </cols>
  <sheetData>
    <row r="1" spans="1:7" ht="18" x14ac:dyDescent="0.35">
      <c r="A1" s="1" t="s">
        <v>133</v>
      </c>
    </row>
    <row r="4" spans="1:7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7" x14ac:dyDescent="0.3">
      <c r="A5" t="s">
        <v>56</v>
      </c>
      <c r="B5">
        <v>4</v>
      </c>
      <c r="D5" s="3" t="s">
        <v>123</v>
      </c>
      <c r="E5" s="4">
        <f>AVERAGE(B:B)</f>
        <v>4.2857142857142856</v>
      </c>
    </row>
    <row r="6" spans="1:7" x14ac:dyDescent="0.3">
      <c r="A6" t="s">
        <v>57</v>
      </c>
      <c r="B6">
        <v>5</v>
      </c>
      <c r="D6" s="3" t="s">
        <v>124</v>
      </c>
      <c r="E6" s="4">
        <f>MEDIAN(B:B)</f>
        <v>4</v>
      </c>
      <c r="G6" t="s">
        <v>161</v>
      </c>
    </row>
    <row r="7" spans="1:7" x14ac:dyDescent="0.3">
      <c r="A7" t="s">
        <v>58</v>
      </c>
      <c r="B7">
        <v>4</v>
      </c>
      <c r="D7" s="3" t="s">
        <v>125</v>
      </c>
      <c r="E7" s="4">
        <f>_xlfn.MODE.SNGL(B:B)</f>
        <v>4</v>
      </c>
      <c r="G7" t="s">
        <v>162</v>
      </c>
    </row>
    <row r="8" spans="1:7" x14ac:dyDescent="0.3">
      <c r="A8" t="s">
        <v>59</v>
      </c>
      <c r="B8">
        <v>5</v>
      </c>
    </row>
    <row r="9" spans="1:7" x14ac:dyDescent="0.3">
      <c r="A9" t="s">
        <v>60</v>
      </c>
      <c r="B9">
        <v>4</v>
      </c>
    </row>
    <row r="10" spans="1:7" x14ac:dyDescent="0.3">
      <c r="A10" t="s">
        <v>61</v>
      </c>
      <c r="B10">
        <v>5</v>
      </c>
      <c r="D10" s="2" t="s">
        <v>134</v>
      </c>
    </row>
    <row r="11" spans="1:7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7" x14ac:dyDescent="0.3">
      <c r="A12" t="s">
        <v>63</v>
      </c>
      <c r="B12">
        <v>4</v>
      </c>
      <c r="D12" s="3">
        <v>1</v>
      </c>
      <c r="E12" s="4">
        <f>COUNTIF($B$5:$B$46,D12)</f>
        <v>0</v>
      </c>
    </row>
    <row r="13" spans="1:7" x14ac:dyDescent="0.3">
      <c r="A13" t="s">
        <v>64</v>
      </c>
      <c r="B13">
        <v>5</v>
      </c>
      <c r="D13" s="3">
        <v>2</v>
      </c>
      <c r="E13" s="4">
        <f t="shared" ref="E13:E16" si="0">COUNTIF($B$5:$B$46,D13)</f>
        <v>1</v>
      </c>
    </row>
    <row r="14" spans="1:7" x14ac:dyDescent="0.3">
      <c r="A14" t="s">
        <v>65</v>
      </c>
      <c r="B14">
        <v>4</v>
      </c>
      <c r="D14" s="3">
        <v>3</v>
      </c>
      <c r="E14" s="4">
        <f t="shared" si="0"/>
        <v>4</v>
      </c>
    </row>
    <row r="15" spans="1:7" x14ac:dyDescent="0.3">
      <c r="A15" t="s">
        <v>66</v>
      </c>
      <c r="B15">
        <v>5</v>
      </c>
      <c r="D15" s="3">
        <v>4</v>
      </c>
      <c r="E15" s="4">
        <f t="shared" si="0"/>
        <v>19</v>
      </c>
    </row>
    <row r="16" spans="1:7" x14ac:dyDescent="0.3">
      <c r="A16" t="s">
        <v>67</v>
      </c>
      <c r="B16">
        <v>2</v>
      </c>
      <c r="D16" s="3">
        <v>5</v>
      </c>
      <c r="E16" s="4">
        <f t="shared" si="0"/>
        <v>18</v>
      </c>
    </row>
    <row r="17" spans="1:7" x14ac:dyDescent="0.3">
      <c r="A17" t="s">
        <v>68</v>
      </c>
      <c r="B17">
        <v>4</v>
      </c>
    </row>
    <row r="18" spans="1:7" x14ac:dyDescent="0.3">
      <c r="A18" t="s">
        <v>69</v>
      </c>
      <c r="B18">
        <v>4</v>
      </c>
    </row>
    <row r="19" spans="1:7" x14ac:dyDescent="0.3">
      <c r="A19" t="s">
        <v>70</v>
      </c>
      <c r="B19">
        <v>5</v>
      </c>
      <c r="D19" s="5" t="s">
        <v>137</v>
      </c>
    </row>
    <row r="20" spans="1:7" x14ac:dyDescent="0.3">
      <c r="A20" t="s">
        <v>71</v>
      </c>
      <c r="B20">
        <v>5</v>
      </c>
      <c r="G20" t="s">
        <v>163</v>
      </c>
    </row>
    <row r="21" spans="1:7" x14ac:dyDescent="0.3">
      <c r="A21" t="s">
        <v>72</v>
      </c>
      <c r="B21">
        <v>4</v>
      </c>
    </row>
    <row r="22" spans="1:7" x14ac:dyDescent="0.3">
      <c r="A22" t="s">
        <v>73</v>
      </c>
      <c r="B22">
        <v>4</v>
      </c>
    </row>
    <row r="23" spans="1:7" x14ac:dyDescent="0.3">
      <c r="A23" t="s">
        <v>74</v>
      </c>
      <c r="B23">
        <v>5</v>
      </c>
    </row>
    <row r="24" spans="1:7" x14ac:dyDescent="0.3">
      <c r="A24" t="s">
        <v>75</v>
      </c>
      <c r="B24">
        <v>3</v>
      </c>
    </row>
    <row r="25" spans="1:7" x14ac:dyDescent="0.3">
      <c r="A25" t="s">
        <v>76</v>
      </c>
      <c r="B25">
        <v>5</v>
      </c>
    </row>
    <row r="26" spans="1:7" x14ac:dyDescent="0.3">
      <c r="A26" t="s">
        <v>77</v>
      </c>
      <c r="B26">
        <v>4</v>
      </c>
    </row>
    <row r="27" spans="1:7" x14ac:dyDescent="0.3">
      <c r="A27" t="s">
        <v>78</v>
      </c>
      <c r="B27">
        <v>4</v>
      </c>
    </row>
    <row r="28" spans="1:7" x14ac:dyDescent="0.3">
      <c r="A28" t="s">
        <v>79</v>
      </c>
      <c r="B28">
        <v>3</v>
      </c>
    </row>
    <row r="29" spans="1:7" x14ac:dyDescent="0.3">
      <c r="A29" t="s">
        <v>80</v>
      </c>
      <c r="B29">
        <v>5</v>
      </c>
    </row>
    <row r="30" spans="1:7" x14ac:dyDescent="0.3">
      <c r="A30" t="s">
        <v>81</v>
      </c>
      <c r="B30">
        <v>4</v>
      </c>
    </row>
    <row r="31" spans="1:7" x14ac:dyDescent="0.3">
      <c r="A31" t="s">
        <v>82</v>
      </c>
      <c r="B31">
        <v>5</v>
      </c>
    </row>
    <row r="32" spans="1:7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113</cp:lastModifiedBy>
  <dcterms:created xsi:type="dcterms:W3CDTF">2026-03-08T23:16:31Z</dcterms:created>
  <dcterms:modified xsi:type="dcterms:W3CDTF">2026-03-09T11:25:05Z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2026-03-09T09:23:48Z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3a82b78d-cf59-4c0d-af97-8ace91499724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